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oadmap" sheetId="1" state="visible" r:id="rId3"/>
    <sheet name="Prompts" sheetId="2" state="visible" r:id="rId4"/>
    <sheet name="Tracker"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<sst xmlns="http://schemas.openxmlformats.org/spreadsheetml/2006/main" count="133" uniqueCount="97">
  <si>
    <t xml:space="preserve">KidGuard: build roadmap (do the steps in order)</t>
  </si>
  <si>
    <t xml:space="preserve">Effort ranges are rough estimates for a small team; replace them with your own. Tick progress on the Tracker sheet. Copy each step's prompt from the Prompts sheet.</t>
  </si>
  <si>
    <t xml:space="preserve">Step</t>
  </si>
  <si>
    <t xml:space="preserve">Stage</t>
  </si>
  <si>
    <t xml:space="preserve">Folder</t>
  </si>
  <si>
    <t xml:space="preserve">Goal</t>
  </si>
  <si>
    <t xml:space="preserve">What to do</t>
  </si>
  <si>
    <t xml:space="preserve">Done when (test)</t>
  </si>
  <si>
    <t xml:space="preserve">Effort (estimate)</t>
  </si>
  <si>
    <t xml:space="preserve">Risk</t>
  </si>
  <si>
    <t xml:space="preserve">Setup and decisions</t>
  </si>
  <si>
    <t xml:space="preserve">docs / design</t>
  </si>
  <si>
    <t xml:space="preserve">Lock the open questions and prepare accounts and tools.</t>
  </si>
  <si>
    <t xml:space="preserve">1) Answer the PRD open questions (India-first or global, free tier, name). 2) Create Google Play Developer, Firebase and Supabase accounts. 3) Install Android Studio, Flutter SDK, Git. 4) Buy 3 or 4 test phones or use friends' (Samsung, Xiaomi, Oppo or Vivo, Pixel). 5) Create a git repo in D:\app for kids.</t>
  </si>
  <si>
    <t xml:space="preserve">Android Studio and Flutter run a hello-world on a real phone; accounts exist.</t>
  </si>
  <si>
    <t xml:space="preserve">2-3 days</t>
  </si>
  <si>
    <t xml:space="preserve">Low</t>
  </si>
  <si>
    <t xml:space="preserve">Backend: database and security</t>
  </si>
  <si>
    <t xml:space="preserve">backend</t>
  </si>
  <si>
    <t xml:space="preserve">Create the Supabase schema, row-level security and pairing logic.</t>
  </si>
  <si>
    <t xml:space="preserve">1) Create the tables from PRD section 9. 2) Add row-level security so each family sees only its own rows. 3) Edge function to create and redeem 6-digit pairing codes (10 min expiry). 4) Scheduled job to delete location points older than 30 days. 5) Seed test data.</t>
  </si>
  <si>
    <t xml:space="preserve">SQL tests prove family A cannot read family B data; pairing code works once and expires.</t>
  </si>
  <si>
    <t xml:space="preserve">4-6 days</t>
  </si>
  <si>
    <t xml:space="preserve">Medium</t>
  </si>
  <si>
    <t xml:space="preserve">Child app spike (riskiest part)</t>
  </si>
  <si>
    <t xml:space="preserve">child-app</t>
  </si>
  <si>
    <t xml:space="preserve">Prove that blocking apps, usage tracking and location work on real phones.</t>
  </si>
  <si>
    <t xml:space="preserve">1) New Kotlin Android project. 2) Usage Access to read per-app foreground time. 3) Overlay block screen when a test app is opened. 4) Foreground service with persistent notification. 5) Fused location every 5 minutes. 6) Test on 3 to 4 brands and write down what breaks.</t>
  </si>
  <si>
    <t xml:space="preserve">On at least 3 phone brands: a blocked app shows the block screen within 2 seconds and location keeps updating for 1 hour with the screen off.</t>
  </si>
  <si>
    <t xml:space="preserve">1-2 weeks</t>
  </si>
  <si>
    <t xml:space="preserve">High</t>
  </si>
  <si>
    <t xml:space="preserve">Parent app and pairing</t>
  </si>
  <si>
    <t xml:space="preserve">parent-app / child-app</t>
  </si>
  <si>
    <t xml:space="preserve">Parent signs up, adds a child, pairs the child phone and child sees consent.</t>
  </si>
  <si>
    <t xml:space="preserve">1) Flutter app with sign-in (email OTP, Google). 2) Add child (name, age band, avatar). 3) Show 6-digit code and QR. 4) Child app: enter code or scan QR, consent screen, permission wizard. 5) Device token stored; parent sees child as connected.</t>
  </si>
  <si>
    <t xml:space="preserve">Two real phones pair in under 2 minutes; unpair deletes the device token.</t>
  </si>
  <si>
    <t xml:space="preserve">Rules and enforcement</t>
  </si>
  <si>
    <t xml:space="preserve">parent-app / child-app / backend</t>
  </si>
  <si>
    <t xml:space="preserve">Daily limit, per-app limits, downtime, always-allowed list, lock, request more time.</t>
  </si>
  <si>
    <t xml:space="preserve">1) Parent screens for daily limit (weekday and weekend), per-app limits, downtime, blocked apps. 2) Rules saved as versioned rows. 3) Child pulls rules via Realtime and FCM and stores locally. 4) Local rule engine enforces offline using server time offset. 5) Block screen shows reason, end time, Ask for more time. 6) Time request push to parent, approve or deny in one tap. 7) Instant lock.</t>
  </si>
  <si>
    <t xml:space="preserve">Setting a 1 minute limit blocks the app within 30 seconds; approving a request unblocks within 10 seconds; works in airplane mode.</t>
  </si>
  <si>
    <t xml:space="preserve">2-3 weeks</t>
  </si>
  <si>
    <t xml:space="preserve">Location and geofences</t>
  </si>
  <si>
    <t xml:space="preserve">Live location, 30-day history, geofence alerts, battery and offline alerts.</t>
  </si>
  <si>
    <t xml:space="preserve">1) Child uploads batched location points. 2) Parent map with last updated time and Refresh now (push asks child for a fix). 3) 30-day route timeline. 4) Create geofences (home, school) with radius. 5) Detect enter and exit on the child (Geofencing API) and send alerts. 6) Low battery and offline alerts.</t>
  </si>
  <si>
    <t xml:space="preserve">Walking out of a 100 m geofence sends the parent an alert within 2 minutes; Refresh now returns a fix within 60 seconds.</t>
  </si>
  <si>
    <t xml:space="preserve">2 weeks</t>
  </si>
  <si>
    <t xml:space="preserve">Alerts and reports</t>
  </si>
  <si>
    <t xml:space="preserve">parent-app / backend</t>
  </si>
  <si>
    <t xml:space="preserve">Push alerts, in-app inbox, tamper alerts, daily and weekly reports.</t>
  </si>
  <si>
    <t xml:space="preserve">1) Alerts for limit reached, new app installed, permission revoked, uninstall attempt. 2) Device Admin for uninstall protection and permission-revoked detection. 3) Daily and weekly usage report by app and category. 4) Parent alerts inbox. 5) Optional weekly email digest.</t>
  </si>
  <si>
    <t xml:space="preserve">Revoking Usage Access on the child phone alerts the parent within 1 minute of the next connection; report totals match the phone's Digital Wellbeing within 5 percent.</t>
  </si>
  <si>
    <t xml:space="preserve">Billing and trial</t>
  </si>
  <si>
    <t xml:space="preserve">3-day trial, monthly and yearly subscription, free tier, restore purchases.</t>
  </si>
  <si>
    <t xml:space="preserve">1) Create products in Play Console (monthly, yearly). 2) Integrate Google Play Billing (or RevenueCat). 3) Trial starts at pairing. 4) Edge function verifies purchases and writes subscription rows. 5) Paywall at trial end; grace period 7 days; restore purchases. 6) Gate features by plan.</t>
  </si>
  <si>
    <t xml:space="preserve">A test purchase with a licence tester account unlocks features within 1 minute; expiry downgrades to the free tier.</t>
  </si>
  <si>
    <t xml:space="preserve">Hardening, privacy and polish</t>
  </si>
  <si>
    <t xml:space="preserve">all</t>
  </si>
  <si>
    <t xml:space="preserve">Make it secure, honest, accessible and ready for review.</t>
  </si>
  <si>
    <t xml:space="preserve">1) Security review and pen test checklist. 2) Data export and delete (30 days). 3) Child-facing About screen and parent privacy page. 4) Privacy policy and terms. 5) English and Hindi strings. 6) Accessibility pass (contrast, 48 dp, TalkBack). 7) OEM battery guides and stale-device alert. 8) Crash reporting without child identifiers.</t>
  </si>
  <si>
    <t xml:space="preserve">All items in PRD section 10.4 are ticked; app passes a basic security scan; Hindi UI complete.</t>
  </si>
  <si>
    <t xml:space="preserve">Beta and Play Store launch</t>
  </si>
  <si>
    <t xml:space="preserve">docs</t>
  </si>
  <si>
    <t xml:space="preserve">Run a 50-family beta, pass Play review and roll out in stages.</t>
  </si>
  <si>
    <t xml:space="preserve">1) Closed testing track with 50 families. 2) Play Console: Data Safety form, permission declarations with demo videos, Families Policy review, store listing. 3) Fix beta bugs until 99 percent crash-free. 4) Staged rollout 5, 20, 50, 100 percent. 5) Help centre and support email.</t>
  </si>
  <si>
    <t xml:space="preserve">Production approved on Google Play; crash-free sessions at least 99 percent; first 100 families paired.</t>
  </si>
  <si>
    <t xml:space="preserve">4-6 weeks</t>
  </si>
  <si>
    <t xml:space="preserve">Copy-paste prompts (one per step)</t>
  </si>
  <si>
    <t xml:space="preserve">How to use: open a NEW chat for each step, paste the Context prompt first, then paste that step's prompt. Finish and test a step before starting the next. If a step is too big, ask for it in two halves.</t>
  </si>
  <si>
    <t xml:space="preserve">Prompt to paste</t>
  </si>
  <si>
    <t xml:space="preserve">Context</t>
  </si>
  <si>
    <t xml:space="preserve">Paste first in every chat</t>
  </si>
  <si>
    <t xml:space="preserve">CONTEXT (paste this at the start of every new chat): I am building KidGuard, a transparent parental control app. Parent app in Flutter (Android and iOS), child app in native Kotlin (Android 10+), backend on Supabase (Postgres, Auth, Realtime, Edge Functions), push via Firebase FCM, billing via Google Play Billing. The full requirements are in D:\app for kids\docs\PRD.md. Rules: no stealth mode, no hidden icon, collect the minimum data, a persistent child-visible notification while monitoring, no message or browsing content collected. Project folder: D:\app for kids (folders: backend, child-app, parent-app, design, docs, research). Work only on the step I name, write files into the right folder, keep code simple and commented, and tell me exactly how to run and test it.</t>
  </si>
  <si>
    <t xml:space="preserve">Help me set up my development environment on Windows for the KidGuard project. Give me a checklist with exact download links and commands to install Android Studio, the Flutter SDK, Git and the Supabase CLI. Then give me the exact commands to initialise a git repo in D:\app for kids with a sensible .gitignore for Flutter, Android and Supabase, and make the first commit. Finally list how to enable USB debugging on a phone and run a hello-world on it.</t>
  </si>
  <si>
    <t xml:space="preserve">Work on STEP 1: the backend. Read D:\app for kids\docs\PRD.md section 9 (data model) and section 10.3 (privacy controls). Write Supabase SQL migrations in D:\app for kids\backend\supabase\migrations that create the tables family, guardian, child, device, pairing_code, rule, app_usage, location_point, geofence, alert, time_request, subscription and audit_log, with foreign keys and indexes. Add row-level security policies so a guardian only reads and writes rows of their own family, and a paired device can only write usage, location and time requests for its own child. Write edge functions create_pairing_code and redeem_pairing_code (6 digits, 10 minute expiry, single use) and a daily job that deletes location points older than 30 days. Add a seed script and a test SQL file that proves family A cannot read family B. Explain how to apply and test it.</t>
  </si>
  <si>
    <t xml:space="preserve">Work on STEP 2: the child app spike. Create a native Kotlin Android project in D:\app for kids\child-app (min SDK 29, Jetpack Compose). Implement: (a) a permission wizard for Usage Access, Display over other apps, fine and background location, notifications and battery optimisation exemption, each with a plain-language explanation screen first; (b) a foreground service with a persistent notification saying monitoring is on; (c) a UsageStatsManager poller that detects the foreground app every 1 second and a hard-coded blocklist that triggers a full-screen overlay block screen with the text 'This app is paused. Ask for more time' ; (d) a fused location provider that logs a point every 5 minutes (every 30 minutes when still) to a local Room database. Do NOT use the Accessibility Service. Add a debug screen showing the live foreground app, service status and last location. Explain how to build, install on a phone and what to test on Xiaomi, Oppo, Vivo and Samsung battery settings.</t>
  </si>
  <si>
    <t xml:space="preserve">Work on STEP 3: parent app and pairing. Read PRD sections 5.1, 7 and 12. In D:\app for kids\parent-app create a Flutter app with Supabase auth (email OTP and Google sign-in), an add-child screen (name, age band 6-9 / 10-12 / 13-17, avatar), and a pairing screen that calls create_pairing_code and shows the 6-digit code and a QR. In D:\app for kids\child-app add: enter-code or scan-QR screen, a full-screen plain-language consent screen listing exactly what is monitored (screen time, app usage, location) with an Accept button, then the existing permission wizard. After redeem_pairing_code succeeds, store the device token securely and show the parent app the child as Connected with battery and last seen. Add Unpair that revokes the token. Use my existing Supabase schema and keep UI calm and simple.</t>
  </si>
  <si>
    <t xml:space="preserve">Work on STEP 4: rules and enforcement. Read PRD sections 5.2, 7 and 13. Build parent screens for daily screen-time limit (weekday and weekend values), per-app limits, downtime schedule, blocked and always-allowed apps (phone, maps, emergency calling never blocked), and an instant lock button. Save rules as versioned rows in the rule table. In the child app, sync rules through Supabase Realtime plus an FCM wake-up, store them in Room, and write a local rule engine that enforces them offline, using a stored server-time offset so changing the phone clock does not help. Update the block screen to show the reason, the time it ends and an Ask for more time button that creates a time_request row and sends the parent a push. Build the parent requests inbox with one-tap approve or deny that adds minutes or keeps the block, and tell the child the result within 10 seconds. Include unit tests for the rule engine.</t>
  </si>
  <si>
    <t xml:space="preserve">Work on STEP 5: location and geofences. Read PRD sections 5.3 and 13. In the child app upload batched location points to the location_point table (adaptive frequency: 5 minutes moving, 30 minutes still) and register geofences from the geofence table using the Android Geofencing API, sending an alert row on enter and exit. Add a handler for a 'refresh location now' FCM message that returns a fresh fix. In the parent app add a Google Maps screen with the live position and last-updated time, a Refresh now button, a 30-day route history timeline with stops and trips, a geofence editor (name, centre, radius, max 10 per family) and alert settings. Add low-battery (15 percent) and device-offline (30 minutes) alerts through an edge function. Show a clear in-app prominent disclosure before background location is requested.</t>
  </si>
  <si>
    <t xml:space="preserve">Work on STEP 6: alerts and reports. Read PRD sections 5.4 and 5.5. In the child app add Device Admin (clearly explained to the user) for uninstall protection, detect revoked permissions, new app installs and uninstall attempts, aggregate daily app usage per package and upload it to app_usage. In the backend add an edge function that turns these events into alert rows and sends FCM pushes to all guardians. In the parent app build the alerts inbox, a daily and weekly report screen with usage by app and by category (use Play Store category metadata where available), and an Android and iOS notification setup. Add an optional weekly email digest edge function. Compare totals with Digital Wellbeing and report any gap.</t>
  </si>
  <si>
    <t xml:space="preserve">Work on STEP 7: billing. Read PRD sections 5.6 and 11. Integrate Google Play Billing in the parent app (use RevenueCat if it makes this simpler and tell me the trade-off) with a monthly and a yearly subscription and a 3-day free trial that starts when the first child is paired, not at install. Add an edge function that verifies purchases server-side and writes the subscription table, a paywall screen at trial end, a 7-day grace period for failed payments, a restore purchases button, and a free tier (1 child, live location only). Gate features by plan in both apps. Give me step-by-step instructions to create the products and licence-tester accounts in Play Console and how to test.</t>
  </si>
  <si>
    <t xml:space="preserve">Work on STEP 8: hardening and polish. Read PRD sections 10, 12 and 13. Audit the whole project against the PRD privacy controls and give me a prioritised list of gaps, then fix them: data export and delete-account flows (deletion within 30 days), the child About screen explaining what the parent can and cannot see, the parent Data and privacy page, certificate pinning on the child app, encrypted local storage, no child data in logs. Add English and Hindi string resources for both apps, an accessibility pass (4.5:1 contrast, 48 dp targets, TalkBack labels), per-brand battery-setup guides in the child permission wizard, and a stale-device alert when the child app stops reporting for 30 minutes. Draft a plain-language privacy policy and terms (marked for lawyer review) in D:\app for kids\docs.</t>
  </si>
  <si>
    <t xml:space="preserve">Work on STEP 9: beta and launch. Read PRD sections 10, 14 and 15. Produce in D:\app for kids\docs: (a) a Play Console submission pack with the Data Safety form answers, the text for each sensitive permission declaration (usage access, overlay, location, foreground service, device admin), a storyboard for each demo video, and the Families Policy self-review; (b) the store listing copy in English and Hindi with screenshots list; (c) a beta plan for 50 families with recruiting message, feedback form questions and exit criteria; (d) a staged rollout and rollback checklist; (e) a help-centre outline including battery-setup guides for Xiaomi, Oppo, Vivo, Samsung and OnePlus; (f) an analytics event list from PRD section 14. Re-check Google's current policy pages for anything that changed.</t>
  </si>
  <si>
    <t xml:space="preserve">Progress tracker</t>
  </si>
  <si>
    <t xml:space="preserve">Blue cells are yours to edit: pick a Status, enter dates and notes. The summary updates automatically.</t>
  </si>
  <si>
    <t xml:space="preserve">Status</t>
  </si>
  <si>
    <t xml:space="preserve">Start date</t>
  </si>
  <si>
    <t xml:space="preserve">Done date</t>
  </si>
  <si>
    <t xml:space="preserve">Days taken</t>
  </si>
  <si>
    <t xml:space="preserve">Notes / blockers</t>
  </si>
  <si>
    <t xml:space="preserve">Not started</t>
  </si>
  <si>
    <t xml:space="preserve">Summary</t>
  </si>
  <si>
    <t xml:space="preserve">Steps done</t>
  </si>
  <si>
    <t xml:space="preserve">Steps in progress</t>
  </si>
  <si>
    <t xml:space="preserve">Steps blocked</t>
  </si>
  <si>
    <t xml:space="preserve">Total steps</t>
  </si>
  <si>
    <t xml:space="preserve">Percent complete</t>
  </si>
</sst>
</file>

<file path=xl/styles.xml><?xml version="1.0" encoding="utf-8"?>
<styleSheet xmlns="http://schemas.openxmlformats.org/spreadsheetml/2006/main">
  <numFmts count="3">
    <numFmt numFmtId="164" formatCode="General"/>
    <numFmt numFmtId="165" formatCode="dd\-mmm\-yyyy"/>
    <numFmt numFmtId="166"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1"/>
      <color rgb="FFFFFFFF"/>
      <name val="Arial"/>
      <family val="0"/>
      <charset val="1"/>
    </font>
    <font>
      <sz val="10"/>
      <name val="Arial"/>
      <family val="0"/>
      <charset val="1"/>
    </font>
    <font>
      <b val="true"/>
      <sz val="10"/>
      <name val="Arial"/>
      <family val="0"/>
      <charset val="1"/>
    </font>
    <font>
      <sz val="10"/>
      <color rgb="FF0000FF"/>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CBAD"/>
        </patternFill>
      </fill>
    </dxf>
    <dxf>
      <fill>
        <patternFill>
          <bgColor rgb="FFFFE699"/>
        </patternFill>
      </fill>
    </dxf>
    <dxf>
      <fill>
        <patternFill>
          <bgColor rgb="FFC6E0B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20"/>
    <col collapsed="false" customWidth="true" hidden="false" outlineLevel="0" max="4" min="4" style="0" width="34"/>
    <col collapsed="false" customWidth="true" hidden="false" outlineLevel="0" max="5" min="5" style="0" width="70"/>
    <col collapsed="false" customWidth="true" hidden="false" outlineLevel="0" max="6" min="6" style="0" width="44"/>
    <col collapsed="false" customWidth="true" hidden="false" outlineLevel="0" max="7" min="7" style="0" width="14"/>
    <col collapsed="false" customWidth="true" hidden="false" outlineLevel="0" max="8" min="8" style="0" width="9"/>
  </cols>
  <sheetData>
    <row r="1" customFormat="false" ht="17.35" hidden="false" customHeight="false" outlineLevel="0" collapsed="false">
      <c r="A1" s="1" t="s">
        <v>0</v>
      </c>
    </row>
    <row r="2" customFormat="false" ht="15" hidden="false" customHeight="false" outlineLevel="0" collapsed="false">
      <c r="A2" s="2" t="s">
        <v>1</v>
      </c>
    </row>
    <row r="4" customFormat="false" ht="26.85" hidden="false" customHeight="false" outlineLevel="0" collapsed="false">
      <c r="A4" s="3" t="s">
        <v>2</v>
      </c>
      <c r="B4" s="3" t="s">
        <v>3</v>
      </c>
      <c r="C4" s="3" t="s">
        <v>4</v>
      </c>
      <c r="D4" s="3" t="s">
        <v>5</v>
      </c>
      <c r="E4" s="3" t="s">
        <v>6</v>
      </c>
      <c r="F4" s="3" t="s">
        <v>7</v>
      </c>
      <c r="G4" s="3" t="s">
        <v>8</v>
      </c>
      <c r="H4" s="3" t="s">
        <v>9</v>
      </c>
    </row>
    <row r="5" customFormat="false" ht="46.25" hidden="false" customHeight="false" outlineLevel="0" collapsed="false">
      <c r="A5" s="4" t="n">
        <v>0</v>
      </c>
      <c r="B5" s="5" t="s">
        <v>10</v>
      </c>
      <c r="C5" s="4" t="s">
        <v>11</v>
      </c>
      <c r="D5" s="4" t="s">
        <v>12</v>
      </c>
      <c r="E5" s="4" t="s">
        <v>13</v>
      </c>
      <c r="F5" s="4" t="s">
        <v>14</v>
      </c>
      <c r="G5" s="4" t="s">
        <v>15</v>
      </c>
      <c r="H5" s="4" t="s">
        <v>16</v>
      </c>
    </row>
    <row r="6" customFormat="false" ht="46.25" hidden="false" customHeight="false" outlineLevel="0" collapsed="false">
      <c r="A6" s="4" t="n">
        <v>1</v>
      </c>
      <c r="B6" s="5" t="s">
        <v>17</v>
      </c>
      <c r="C6" s="4" t="s">
        <v>18</v>
      </c>
      <c r="D6" s="4" t="s">
        <v>19</v>
      </c>
      <c r="E6" s="4" t="s">
        <v>20</v>
      </c>
      <c r="F6" s="4" t="s">
        <v>21</v>
      </c>
      <c r="G6" s="4" t="s">
        <v>22</v>
      </c>
      <c r="H6" s="4" t="s">
        <v>23</v>
      </c>
    </row>
    <row r="7" customFormat="false" ht="46.25" hidden="false" customHeight="false" outlineLevel="0" collapsed="false">
      <c r="A7" s="4" t="n">
        <v>2</v>
      </c>
      <c r="B7" s="5" t="s">
        <v>24</v>
      </c>
      <c r="C7" s="4" t="s">
        <v>25</v>
      </c>
      <c r="D7" s="4" t="s">
        <v>26</v>
      </c>
      <c r="E7" s="4" t="s">
        <v>27</v>
      </c>
      <c r="F7" s="4" t="s">
        <v>28</v>
      </c>
      <c r="G7" s="4" t="s">
        <v>29</v>
      </c>
      <c r="H7" s="4" t="s">
        <v>30</v>
      </c>
    </row>
    <row r="8" customFormat="false" ht="35.05" hidden="false" customHeight="false" outlineLevel="0" collapsed="false">
      <c r="A8" s="4" t="n">
        <v>3</v>
      </c>
      <c r="B8" s="5" t="s">
        <v>31</v>
      </c>
      <c r="C8" s="4" t="s">
        <v>32</v>
      </c>
      <c r="D8" s="4" t="s">
        <v>33</v>
      </c>
      <c r="E8" s="4" t="s">
        <v>34</v>
      </c>
      <c r="F8" s="4" t="s">
        <v>35</v>
      </c>
      <c r="G8" s="4" t="s">
        <v>29</v>
      </c>
      <c r="H8" s="4" t="s">
        <v>23</v>
      </c>
    </row>
    <row r="9" customFormat="false" ht="57.45" hidden="false" customHeight="false" outlineLevel="0" collapsed="false">
      <c r="A9" s="4" t="n">
        <v>4</v>
      </c>
      <c r="B9" s="5" t="s">
        <v>36</v>
      </c>
      <c r="C9" s="4" t="s">
        <v>37</v>
      </c>
      <c r="D9" s="4" t="s">
        <v>38</v>
      </c>
      <c r="E9" s="4" t="s">
        <v>39</v>
      </c>
      <c r="F9" s="4" t="s">
        <v>40</v>
      </c>
      <c r="G9" s="4" t="s">
        <v>41</v>
      </c>
      <c r="H9" s="4" t="s">
        <v>30</v>
      </c>
    </row>
    <row r="10" customFormat="false" ht="46.25" hidden="false" customHeight="false" outlineLevel="0" collapsed="false">
      <c r="A10" s="4" t="n">
        <v>5</v>
      </c>
      <c r="B10" s="5" t="s">
        <v>42</v>
      </c>
      <c r="C10" s="4" t="s">
        <v>37</v>
      </c>
      <c r="D10" s="4" t="s">
        <v>43</v>
      </c>
      <c r="E10" s="4" t="s">
        <v>44</v>
      </c>
      <c r="F10" s="4" t="s">
        <v>45</v>
      </c>
      <c r="G10" s="4" t="s">
        <v>46</v>
      </c>
      <c r="H10" s="4" t="s">
        <v>23</v>
      </c>
    </row>
    <row r="11" customFormat="false" ht="46.25" hidden="false" customHeight="false" outlineLevel="0" collapsed="false">
      <c r="A11" s="4" t="n">
        <v>6</v>
      </c>
      <c r="B11" s="5" t="s">
        <v>47</v>
      </c>
      <c r="C11" s="4" t="s">
        <v>48</v>
      </c>
      <c r="D11" s="4" t="s">
        <v>49</v>
      </c>
      <c r="E11" s="4" t="s">
        <v>50</v>
      </c>
      <c r="F11" s="4" t="s">
        <v>51</v>
      </c>
      <c r="G11" s="4" t="s">
        <v>29</v>
      </c>
      <c r="H11" s="4" t="s">
        <v>23</v>
      </c>
    </row>
    <row r="12" customFormat="false" ht="46.25" hidden="false" customHeight="false" outlineLevel="0" collapsed="false">
      <c r="A12" s="4" t="n">
        <v>7</v>
      </c>
      <c r="B12" s="5" t="s">
        <v>52</v>
      </c>
      <c r="C12" s="4" t="s">
        <v>48</v>
      </c>
      <c r="D12" s="4" t="s">
        <v>53</v>
      </c>
      <c r="E12" s="4" t="s">
        <v>54</v>
      </c>
      <c r="F12" s="4" t="s">
        <v>55</v>
      </c>
      <c r="G12" s="4" t="s">
        <v>29</v>
      </c>
      <c r="H12" s="4" t="s">
        <v>23</v>
      </c>
    </row>
    <row r="13" customFormat="false" ht="46.25" hidden="false" customHeight="false" outlineLevel="0" collapsed="false">
      <c r="A13" s="4" t="n">
        <v>8</v>
      </c>
      <c r="B13" s="5" t="s">
        <v>56</v>
      </c>
      <c r="C13" s="4" t="s">
        <v>57</v>
      </c>
      <c r="D13" s="4" t="s">
        <v>58</v>
      </c>
      <c r="E13" s="4" t="s">
        <v>59</v>
      </c>
      <c r="F13" s="4" t="s">
        <v>60</v>
      </c>
      <c r="G13" s="4" t="s">
        <v>41</v>
      </c>
      <c r="H13" s="4" t="s">
        <v>23</v>
      </c>
    </row>
    <row r="14" customFormat="false" ht="46.25" hidden="false" customHeight="false" outlineLevel="0" collapsed="false">
      <c r="A14" s="4" t="n">
        <v>9</v>
      </c>
      <c r="B14" s="5" t="s">
        <v>61</v>
      </c>
      <c r="C14" s="4" t="s">
        <v>62</v>
      </c>
      <c r="D14" s="4" t="s">
        <v>63</v>
      </c>
      <c r="E14" s="4" t="s">
        <v>64</v>
      </c>
      <c r="F14" s="4" t="s">
        <v>65</v>
      </c>
      <c r="G14" s="4" t="s">
        <v>66</v>
      </c>
      <c r="H14" s="4" t="s">
        <v>30</v>
      </c>
    </row>
  </sheetData>
  <conditionalFormatting sqref="H5:H14">
    <cfRule type="cellIs" priority="2" operator="equal" aboveAverage="0" equalAverage="0" bottom="0" percent="0" rank="0" text="" dxfId="0">
      <formula>"High"</formula>
    </cfRule>
    <cfRule type="cellIs" priority="3" operator="equal" aboveAverage="0" equalAverage="0" bottom="0" percent="0" rank="0" text="" dxfId="1">
      <formula>"Medium"</formula>
    </cfRule>
    <cfRule type="cellIs" priority="4" operator="equal" aboveAverage="0" equalAverage="0" bottom="0" percent="0" rank="0" text="" dxfId="2">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110"/>
  </cols>
  <sheetData>
    <row r="1" customFormat="false" ht="17.35" hidden="false" customHeight="false" outlineLevel="0" collapsed="false">
      <c r="A1" s="1" t="s">
        <v>67</v>
      </c>
    </row>
    <row r="2" customFormat="false" ht="15" hidden="false" customHeight="false" outlineLevel="0" collapsed="false">
      <c r="A2" s="2" t="s">
        <v>68</v>
      </c>
    </row>
    <row r="4" customFormat="false" ht="15" hidden="false" customHeight="false" outlineLevel="0" collapsed="false">
      <c r="A4" s="3" t="s">
        <v>2</v>
      </c>
      <c r="B4" s="3" t="s">
        <v>3</v>
      </c>
      <c r="C4" s="3" t="s">
        <v>69</v>
      </c>
    </row>
    <row r="5" customFormat="false" ht="135" hidden="false" customHeight="true" outlineLevel="0" collapsed="false">
      <c r="A5" s="5" t="s">
        <v>70</v>
      </c>
      <c r="B5" s="5" t="s">
        <v>71</v>
      </c>
      <c r="C5" s="4" t="s">
        <v>72</v>
      </c>
    </row>
    <row r="6" customFormat="false" ht="75" hidden="false" customHeight="true" outlineLevel="0" collapsed="false">
      <c r="A6" s="5" t="n">
        <v>0</v>
      </c>
      <c r="B6" s="5" t="s">
        <v>10</v>
      </c>
      <c r="C6" s="4" t="s">
        <v>73</v>
      </c>
    </row>
    <row r="7" customFormat="false" ht="150" hidden="false" customHeight="true" outlineLevel="0" collapsed="false">
      <c r="A7" s="5" t="n">
        <v>1</v>
      </c>
      <c r="B7" s="5" t="s">
        <v>17</v>
      </c>
      <c r="C7" s="4" t="s">
        <v>74</v>
      </c>
    </row>
    <row r="8" customFormat="false" ht="165" hidden="false" customHeight="true" outlineLevel="0" collapsed="false">
      <c r="A8" s="5" t="n">
        <v>2</v>
      </c>
      <c r="B8" s="5" t="s">
        <v>24</v>
      </c>
      <c r="C8" s="4" t="s">
        <v>75</v>
      </c>
    </row>
    <row r="9" customFormat="false" ht="135" hidden="false" customHeight="true" outlineLevel="0" collapsed="false">
      <c r="A9" s="5" t="n">
        <v>3</v>
      </c>
      <c r="B9" s="5" t="s">
        <v>31</v>
      </c>
      <c r="C9" s="4" t="s">
        <v>76</v>
      </c>
    </row>
    <row r="10" customFormat="false" ht="150" hidden="false" customHeight="true" outlineLevel="0" collapsed="false">
      <c r="A10" s="5" t="n">
        <v>4</v>
      </c>
      <c r="B10" s="5" t="s">
        <v>36</v>
      </c>
      <c r="C10" s="4" t="s">
        <v>77</v>
      </c>
    </row>
    <row r="11" customFormat="false" ht="135" hidden="false" customHeight="true" outlineLevel="0" collapsed="false">
      <c r="A11" s="5" t="n">
        <v>5</v>
      </c>
      <c r="B11" s="5" t="s">
        <v>42</v>
      </c>
      <c r="C11" s="4" t="s">
        <v>78</v>
      </c>
    </row>
    <row r="12" customFormat="false" ht="120" hidden="false" customHeight="true" outlineLevel="0" collapsed="false">
      <c r="A12" s="5" t="n">
        <v>6</v>
      </c>
      <c r="B12" s="5" t="s">
        <v>47</v>
      </c>
      <c r="C12" s="4" t="s">
        <v>79</v>
      </c>
    </row>
    <row r="13" customFormat="false" ht="120" hidden="false" customHeight="true" outlineLevel="0" collapsed="false">
      <c r="A13" s="5" t="n">
        <v>7</v>
      </c>
      <c r="B13" s="5" t="s">
        <v>52</v>
      </c>
      <c r="C13" s="4" t="s">
        <v>80</v>
      </c>
    </row>
    <row r="14" customFormat="false" ht="135" hidden="false" customHeight="true" outlineLevel="0" collapsed="false">
      <c r="A14" s="5" t="n">
        <v>8</v>
      </c>
      <c r="B14" s="5" t="s">
        <v>56</v>
      </c>
      <c r="C14" s="4" t="s">
        <v>81</v>
      </c>
    </row>
    <row r="15" customFormat="false" ht="135" hidden="false" customHeight="true" outlineLevel="0" collapsed="false">
      <c r="A15" s="5" t="n">
        <v>9</v>
      </c>
      <c r="B15" s="5" t="s">
        <v>61</v>
      </c>
      <c r="C15" s="4"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5" min="3" style="0" width="14"/>
    <col collapsed="false" customWidth="true" hidden="false" outlineLevel="0" max="6" min="6" style="0" width="11"/>
    <col collapsed="false" customWidth="true" hidden="false" outlineLevel="0" max="7" min="7" style="0" width="50"/>
  </cols>
  <sheetData>
    <row r="1" customFormat="false" ht="17.35" hidden="false" customHeight="false" outlineLevel="0" collapsed="false">
      <c r="A1" s="1" t="s">
        <v>83</v>
      </c>
    </row>
    <row r="2" customFormat="false" ht="15" hidden="false" customHeight="false" outlineLevel="0" collapsed="false">
      <c r="A2" s="2" t="s">
        <v>84</v>
      </c>
    </row>
    <row r="4" customFormat="false" ht="26.85" hidden="false" customHeight="false" outlineLevel="0" collapsed="false">
      <c r="A4" s="3" t="s">
        <v>2</v>
      </c>
      <c r="B4" s="3" t="s">
        <v>3</v>
      </c>
      <c r="C4" s="3" t="s">
        <v>85</v>
      </c>
      <c r="D4" s="3" t="s">
        <v>86</v>
      </c>
      <c r="E4" s="3" t="s">
        <v>87</v>
      </c>
      <c r="F4" s="3" t="s">
        <v>88</v>
      </c>
      <c r="G4" s="3" t="s">
        <v>89</v>
      </c>
    </row>
    <row r="5" customFormat="false" ht="15" hidden="false" customHeight="false" outlineLevel="0" collapsed="false">
      <c r="A5" s="4" t="n">
        <f aca="false">Roadmap!A5</f>
        <v>0</v>
      </c>
      <c r="B5" s="4" t="str">
        <f aca="false">Roadmap!B5</f>
        <v>Setup and decisions</v>
      </c>
      <c r="C5" s="6" t="s">
        <v>90</v>
      </c>
      <c r="D5" s="7"/>
      <c r="E5" s="7"/>
      <c r="F5" s="4" t="str">
        <f aca="false">IF(AND(ISNUMBER(D5),ISNUMBER(E5)),E5-D5,"")</f>
        <v/>
      </c>
      <c r="G5" s="6"/>
    </row>
    <row r="6" customFormat="false" ht="15" hidden="false" customHeight="false" outlineLevel="0" collapsed="false">
      <c r="A6" s="4" t="n">
        <f aca="false">Roadmap!A6</f>
        <v>1</v>
      </c>
      <c r="B6" s="4" t="str">
        <f aca="false">Roadmap!B6</f>
        <v>Backend: database and security</v>
      </c>
      <c r="C6" s="6" t="s">
        <v>90</v>
      </c>
      <c r="D6" s="7"/>
      <c r="E6" s="7"/>
      <c r="F6" s="4" t="str">
        <f aca="false">IF(AND(ISNUMBER(D6),ISNUMBER(E6)),E6-D6,"")</f>
        <v/>
      </c>
      <c r="G6" s="6"/>
    </row>
    <row r="7" customFormat="false" ht="15" hidden="false" customHeight="false" outlineLevel="0" collapsed="false">
      <c r="A7" s="4" t="n">
        <f aca="false">Roadmap!A7</f>
        <v>2</v>
      </c>
      <c r="B7" s="4" t="str">
        <f aca="false">Roadmap!B7</f>
        <v>Child app spike (riskiest part)</v>
      </c>
      <c r="C7" s="6" t="s">
        <v>90</v>
      </c>
      <c r="D7" s="7"/>
      <c r="E7" s="7"/>
      <c r="F7" s="4" t="str">
        <f aca="false">IF(AND(ISNUMBER(D7),ISNUMBER(E7)),E7-D7,"")</f>
        <v/>
      </c>
      <c r="G7" s="6"/>
    </row>
    <row r="8" customFormat="false" ht="15" hidden="false" customHeight="false" outlineLevel="0" collapsed="false">
      <c r="A8" s="4" t="n">
        <f aca="false">Roadmap!A8</f>
        <v>3</v>
      </c>
      <c r="B8" s="4" t="str">
        <f aca="false">Roadmap!B8</f>
        <v>Parent app and pairing</v>
      </c>
      <c r="C8" s="6" t="s">
        <v>90</v>
      </c>
      <c r="D8" s="7"/>
      <c r="E8" s="7"/>
      <c r="F8" s="4" t="str">
        <f aca="false">IF(AND(ISNUMBER(D8),ISNUMBER(E8)),E8-D8,"")</f>
        <v/>
      </c>
      <c r="G8" s="6"/>
    </row>
    <row r="9" customFormat="false" ht="15" hidden="false" customHeight="false" outlineLevel="0" collapsed="false">
      <c r="A9" s="4" t="n">
        <f aca="false">Roadmap!A9</f>
        <v>4</v>
      </c>
      <c r="B9" s="4" t="str">
        <f aca="false">Roadmap!B9</f>
        <v>Rules and enforcement</v>
      </c>
      <c r="C9" s="6" t="s">
        <v>90</v>
      </c>
      <c r="D9" s="7"/>
      <c r="E9" s="7"/>
      <c r="F9" s="4" t="str">
        <f aca="false">IF(AND(ISNUMBER(D9),ISNUMBER(E9)),E9-D9,"")</f>
        <v/>
      </c>
      <c r="G9" s="6"/>
    </row>
    <row r="10" customFormat="false" ht="15" hidden="false" customHeight="false" outlineLevel="0" collapsed="false">
      <c r="A10" s="4" t="n">
        <f aca="false">Roadmap!A10</f>
        <v>5</v>
      </c>
      <c r="B10" s="4" t="str">
        <f aca="false">Roadmap!B10</f>
        <v>Location and geofences</v>
      </c>
      <c r="C10" s="6" t="s">
        <v>90</v>
      </c>
      <c r="D10" s="7"/>
      <c r="E10" s="7"/>
      <c r="F10" s="4" t="str">
        <f aca="false">IF(AND(ISNUMBER(D10),ISNUMBER(E10)),E10-D10,"")</f>
        <v/>
      </c>
      <c r="G10" s="6"/>
    </row>
    <row r="11" customFormat="false" ht="15" hidden="false" customHeight="false" outlineLevel="0" collapsed="false">
      <c r="A11" s="4" t="n">
        <f aca="false">Roadmap!A11</f>
        <v>6</v>
      </c>
      <c r="B11" s="4" t="str">
        <f aca="false">Roadmap!B11</f>
        <v>Alerts and reports</v>
      </c>
      <c r="C11" s="6" t="s">
        <v>90</v>
      </c>
      <c r="D11" s="7"/>
      <c r="E11" s="7"/>
      <c r="F11" s="4" t="str">
        <f aca="false">IF(AND(ISNUMBER(D11),ISNUMBER(E11)),E11-D11,"")</f>
        <v/>
      </c>
      <c r="G11" s="6"/>
    </row>
    <row r="12" customFormat="false" ht="15" hidden="false" customHeight="false" outlineLevel="0" collapsed="false">
      <c r="A12" s="4" t="n">
        <f aca="false">Roadmap!A12</f>
        <v>7</v>
      </c>
      <c r="B12" s="4" t="str">
        <f aca="false">Roadmap!B12</f>
        <v>Billing and trial</v>
      </c>
      <c r="C12" s="6" t="s">
        <v>90</v>
      </c>
      <c r="D12" s="7"/>
      <c r="E12" s="7"/>
      <c r="F12" s="4" t="str">
        <f aca="false">IF(AND(ISNUMBER(D12),ISNUMBER(E12)),E12-D12,"")</f>
        <v/>
      </c>
      <c r="G12" s="6"/>
    </row>
    <row r="13" customFormat="false" ht="15" hidden="false" customHeight="false" outlineLevel="0" collapsed="false">
      <c r="A13" s="4" t="n">
        <f aca="false">Roadmap!A13</f>
        <v>8</v>
      </c>
      <c r="B13" s="4" t="str">
        <f aca="false">Roadmap!B13</f>
        <v>Hardening, privacy and polish</v>
      </c>
      <c r="C13" s="6" t="s">
        <v>90</v>
      </c>
      <c r="D13" s="7"/>
      <c r="E13" s="7"/>
      <c r="F13" s="4" t="str">
        <f aca="false">IF(AND(ISNUMBER(D13),ISNUMBER(E13)),E13-D13,"")</f>
        <v/>
      </c>
      <c r="G13" s="6"/>
    </row>
    <row r="14" customFormat="false" ht="15" hidden="false" customHeight="false" outlineLevel="0" collapsed="false">
      <c r="A14" s="4" t="n">
        <f aca="false">Roadmap!A14</f>
        <v>9</v>
      </c>
      <c r="B14" s="4" t="str">
        <f aca="false">Roadmap!B14</f>
        <v>Beta and Play Store launch</v>
      </c>
      <c r="C14" s="6" t="s">
        <v>90</v>
      </c>
      <c r="D14" s="7"/>
      <c r="E14" s="7"/>
      <c r="F14" s="4" t="str">
        <f aca="false">IF(AND(ISNUMBER(D14),ISNUMBER(E14)),E14-D14,"")</f>
        <v/>
      </c>
      <c r="G14" s="6"/>
    </row>
    <row r="17" customFormat="false" ht="15" hidden="false" customHeight="false" outlineLevel="0" collapsed="false">
      <c r="A17" s="8" t="s">
        <v>91</v>
      </c>
    </row>
    <row r="18" customFormat="false" ht="15" hidden="false" customHeight="false" outlineLevel="0" collapsed="false">
      <c r="A18" s="9" t="s">
        <v>92</v>
      </c>
      <c r="B18" s="9" t="n">
        <f aca="false">COUNTIF(C5:C14,"Done")</f>
        <v>0</v>
      </c>
    </row>
    <row r="19" customFormat="false" ht="15" hidden="false" customHeight="false" outlineLevel="0" collapsed="false">
      <c r="A19" s="9" t="s">
        <v>93</v>
      </c>
      <c r="B19" s="9" t="n">
        <f aca="false">COUNTIF(C5:C14,"In progress")</f>
        <v>0</v>
      </c>
    </row>
    <row r="20" customFormat="false" ht="15" hidden="false" customHeight="false" outlineLevel="0" collapsed="false">
      <c r="A20" s="9" t="s">
        <v>94</v>
      </c>
      <c r="B20" s="9" t="n">
        <f aca="false">COUNTIF(C5:C14,"Blocked")</f>
        <v>0</v>
      </c>
    </row>
    <row r="21" customFormat="false" ht="15" hidden="false" customHeight="false" outlineLevel="0" collapsed="false">
      <c r="A21" s="9" t="s">
        <v>95</v>
      </c>
      <c r="B21" s="9" t="n">
        <f aca="false">COUNTA(B5:B14)</f>
        <v>10</v>
      </c>
    </row>
    <row r="22" customFormat="false" ht="15" hidden="false" customHeight="false" outlineLevel="0" collapsed="false">
      <c r="A22" s="9" t="s">
        <v>96</v>
      </c>
      <c r="B22" s="10" t="n">
        <f aca="false">IF(B21=0,0,B18/B21)</f>
        <v>0</v>
      </c>
    </row>
  </sheetData>
  <conditionalFormatting sqref="C5:C14">
    <cfRule type="cellIs" priority="2" operator="equal" aboveAverage="0" equalAverage="0" bottom="0" percent="0" rank="0" text="" dxfId="2">
      <formula>"Done"</formula>
    </cfRule>
    <cfRule type="cellIs" priority="3" operator="equal" aboveAverage="0" equalAverage="0" bottom="0" percent="0" rank="0" text="" dxfId="1">
      <formula>"In progress"</formula>
    </cfRule>
    <cfRule type="cellIs" priority="4" operator="equal" aboveAverage="0" equalAverage="0" bottom="0" percent="0" rank="0" text="" dxfId="0">
      <formula>"Blocked"</formula>
    </cfRule>
  </conditionalFormatting>
  <dataValidations count="1">
    <dataValidation allowBlank="false" errorStyle="stop" operator="between" showDropDown="false" showErrorMessage="false" showInputMessage="false" sqref="C5:C14" type="list">
      <formula1>"Not started,In progress,Blocked,Done"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2026-10-21T07:24:10Z</dcterms:created>
  <dc:creator>openpyxl</dc:creator>
  <dc:description/>
  <dc:language>en-US</dc:language>
  <cp:lastModifiedBy/>
  <dcterms:modified xsi:type="dcterms:W3CDTF">2026-10-21T07:24:10Z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